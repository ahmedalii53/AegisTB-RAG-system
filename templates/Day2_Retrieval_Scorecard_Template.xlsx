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corecard"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i val="1"/>
      <color rgb="005A6472"/>
      <sz val="10"/>
    </font>
    <font>
      <b val="1"/>
      <color rgb="00FFFFFF"/>
      <sz val="10.5"/>
    </font>
    <font>
      <b val="1"/>
      <color rgb="000F307F"/>
    </font>
    <font>
      <sz val="10.5"/>
    </font>
    <font>
      <b val="1"/>
      <color rgb="000F307F"/>
      <sz val="11"/>
    </font>
  </fonts>
  <fills count="5">
    <fill>
      <patternFill/>
    </fill>
    <fill>
      <patternFill patternType="gray125"/>
    </fill>
    <fill>
      <patternFill patternType="solid">
        <fgColor rgb="000F307F"/>
      </patternFill>
    </fill>
    <fill>
      <patternFill patternType="solid">
        <fgColor rgb="00F1F5FC"/>
      </patternFill>
    </fill>
    <fill>
      <patternFill patternType="solid">
        <fgColor rgb="00FFFFFF"/>
      </patternFill>
    </fill>
  </fills>
  <borders count="2">
    <border>
      <left/>
      <right/>
      <top/>
      <bottom/>
      <diagonal/>
    </border>
    <border>
      <left style="thin">
        <color rgb="00DCE6F7"/>
      </left>
      <right style="thin">
        <color rgb="00DCE6F7"/>
      </right>
      <top style="thin">
        <color rgb="00DCE6F7"/>
      </top>
      <bottom style="thin">
        <color rgb="00DCE6F7"/>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xf>
    <xf numFmtId="0" fontId="5" fillId="3" borderId="1" applyAlignment="1" pivotButton="0" quotePrefix="0" xfId="0">
      <alignment vertical="center" wrapText="1"/>
    </xf>
    <xf numFmtId="0" fontId="5" fillId="3" borderId="1" applyAlignment="1" pivotButton="0" quotePrefix="0" xfId="0">
      <alignment horizontal="center" vertical="center"/>
    </xf>
    <xf numFmtId="0" fontId="0" fillId="3" borderId="1" applyAlignment="1" pivotButton="0" quotePrefix="0" xfId="0">
      <alignment horizontal="center" vertical="center"/>
    </xf>
    <xf numFmtId="2" fontId="4" fillId="3" borderId="1" applyAlignment="1" pivotButton="0" quotePrefix="0" xfId="0">
      <alignment horizontal="center" vertical="center"/>
    </xf>
    <xf numFmtId="0" fontId="5" fillId="4" borderId="1" applyAlignment="1" pivotButton="0" quotePrefix="0" xfId="0">
      <alignment horizontal="center"/>
    </xf>
    <xf numFmtId="0" fontId="5" fillId="4" borderId="1" applyAlignment="1" pivotButton="0" quotePrefix="0" xfId="0">
      <alignment vertical="center" wrapText="1"/>
    </xf>
    <xf numFmtId="0" fontId="5" fillId="4" borderId="1" applyAlignment="1" pivotButton="0" quotePrefix="0" xfId="0">
      <alignment horizontal="center" vertical="center"/>
    </xf>
    <xf numFmtId="0" fontId="0" fillId="4" borderId="1" applyAlignment="1" pivotButton="0" quotePrefix="0" xfId="0">
      <alignment horizontal="center" vertical="center"/>
    </xf>
    <xf numFmtId="2" fontId="4" fillId="4" borderId="1" applyAlignment="1" pivotButton="0" quotePrefix="0" xfId="0">
      <alignment horizontal="center" vertical="center"/>
    </xf>
    <xf numFmtId="0" fontId="6" fillId="0" borderId="0" applyAlignment="1" pivotButton="0" quotePrefix="0" xfId="0">
      <alignment horizontal="right" vertical="center"/>
    </xf>
    <xf numFmtId="2" fontId="1" fillId="2" borderId="0" applyAlignment="1" pivotButton="0" quotePrefix="0" xfId="0">
      <alignment horizontal="center" vertical="center"/>
    </xf>
  </cellXfs>
  <cellStyles count="1">
    <cellStyle name="Normal" xfId="0" builtinId="0" hidden="0"/>
  </cellStyles>
  <dxfs count="2">
    <dxf>
      <fill>
        <patternFill patternType="solid">
          <fgColor rgb="00FDE2E2"/>
        </patternFill>
      </fill>
    </dxf>
    <dxf>
      <fill>
        <patternFill patternType="solid">
          <fgColor rgb="00E3F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4"/>
  <sheetViews>
    <sheetView workbookViewId="0">
      <pane ySplit="4" topLeftCell="A5" activePane="bottomLeft" state="frozen"/>
      <selection pane="bottomLeft" activeCell="A1" sqref="A1"/>
    </sheetView>
  </sheetViews>
  <sheetFormatPr baseColWidth="8" defaultRowHeight="15"/>
  <cols>
    <col width="4" customWidth="1" min="1" max="1"/>
    <col width="42" customWidth="1" min="2" max="2"/>
    <col width="30" customWidth="1" min="3" max="3"/>
    <col width="9" customWidth="1" min="4" max="4"/>
    <col width="9" customWidth="1" min="5" max="5"/>
    <col width="9" customWidth="1" min="6" max="6"/>
    <col width="9" customWidth="1" min="7" max="7"/>
    <col width="9" customWidth="1" min="8" max="8"/>
    <col width="12" customWidth="1" min="9" max="9"/>
    <col width="12" customWidth="1" min="10" max="10"/>
  </cols>
  <sheetData>
    <row r="1" ht="28" customHeight="1">
      <c r="A1" s="1" t="inlineStr">
        <is>
          <t>Day 2 Retrieval Scorecard — AI Clinical Decision Support Lite Hackathon</t>
        </is>
      </c>
    </row>
    <row r="2" ht="18" customHeight="1">
      <c r="A2" s="2" t="inlineStr">
        <is>
          <t>Mark each retrieved chunk 1 = relevant, 0 = not relevant. Precision@5 and the average recalculate automatically.</t>
        </is>
      </c>
    </row>
    <row r="4">
      <c r="A4" s="3" t="inlineStr">
        <is>
          <t>#</t>
        </is>
      </c>
      <c r="B4" s="3" t="inlineStr">
        <is>
          <t>Question</t>
        </is>
      </c>
      <c r="C4" s="3" t="inlineStr">
        <is>
          <t>Expected Source</t>
        </is>
      </c>
      <c r="D4" s="3" t="inlineStr">
        <is>
          <t>Chunk 1</t>
        </is>
      </c>
      <c r="E4" s="3" t="inlineStr">
        <is>
          <t>Chunk 2</t>
        </is>
      </c>
      <c r="F4" s="3" t="inlineStr">
        <is>
          <t>Chunk 3</t>
        </is>
      </c>
      <c r="G4" s="3" t="inlineStr">
        <is>
          <t>Chunk 4</t>
        </is>
      </c>
      <c r="H4" s="3" t="inlineStr">
        <is>
          <t>Chunk 5</t>
        </is>
      </c>
      <c r="I4" s="3" t="inlineStr">
        <is>
          <t>Relevant Count</t>
        </is>
      </c>
      <c r="J4" s="3" t="inlineStr">
        <is>
          <t>Precision@5</t>
        </is>
      </c>
    </row>
    <row r="5" ht="34" customHeight="1">
      <c r="A5" s="4" t="n">
        <v>1</v>
      </c>
      <c r="B5" s="5" t="inlineStr">
        <is>
          <t>What blood pressure threshold should trigger starting medication for hypertension?</t>
        </is>
      </c>
      <c r="C5" s="5" t="inlineStr">
        <is>
          <t>WHO Hypertension Guideline / Recommendation 1 / Page 3</t>
        </is>
      </c>
      <c r="D5" s="6" t="n"/>
      <c r="E5" s="6" t="n"/>
      <c r="F5" s="6" t="n"/>
      <c r="G5" s="6" t="n"/>
      <c r="H5" s="6" t="n"/>
      <c r="I5" s="7">
        <f>SUM(D5:H5)</f>
        <v/>
      </c>
      <c r="J5" s="8">
        <f>I5/5</f>
        <v/>
      </c>
    </row>
    <row r="6" ht="34" customHeight="1">
      <c r="A6" s="9" t="n">
        <v>2</v>
      </c>
      <c r="B6" s="10" t="inlineStr">
        <is>
          <t>What are the three recommended first-line drug classes for treating hypertension?</t>
        </is>
      </c>
      <c r="C6" s="10" t="inlineStr">
        <is>
          <t>WHO Hypertension Guideline / 3.4 Drug classes / Page 8</t>
        </is>
      </c>
      <c r="D6" s="11" t="n"/>
      <c r="E6" s="11" t="n"/>
      <c r="F6" s="11" t="n"/>
      <c r="G6" s="11" t="n"/>
      <c r="H6" s="11" t="n"/>
      <c r="I6" s="12">
        <f>SUM(D6:H6)</f>
        <v/>
      </c>
      <c r="J6" s="13">
        <f>I6/5</f>
        <v/>
      </c>
    </row>
    <row r="7" ht="34" customHeight="1">
      <c r="A7" s="4" t="n">
        <v>3</v>
      </c>
      <c r="B7" s="5" t="inlineStr">
        <is>
          <t>What is the target blood pressure for a patient with existing cardiovascular disease?</t>
        </is>
      </c>
      <c r="C7" s="5" t="inlineStr">
        <is>
          <t>WHO Hypertension Guideline / 3.6 Target blood pressure / Page 9</t>
        </is>
      </c>
      <c r="D7" s="6" t="n"/>
      <c r="E7" s="6" t="n"/>
      <c r="F7" s="6" t="n"/>
      <c r="G7" s="6" t="n"/>
      <c r="H7" s="6" t="n"/>
      <c r="I7" s="7">
        <f>SUM(D7:H7)</f>
        <v/>
      </c>
      <c r="J7" s="8">
        <f>I7/5</f>
        <v/>
      </c>
    </row>
    <row r="8" ht="34" customHeight="1">
      <c r="A8" s="9" t="n">
        <v>4</v>
      </c>
      <c r="B8" s="10" t="inlineStr">
        <is>
          <t>How often should a patient be followed up after starting or changing medication?</t>
        </is>
      </c>
      <c r="C8" s="10" t="inlineStr">
        <is>
          <t>WHO Hypertension Guideline / 3.7 Frequency of re-assessment / Page 9</t>
        </is>
      </c>
      <c r="D8" s="11" t="n"/>
      <c r="E8" s="11" t="n"/>
      <c r="F8" s="11" t="n"/>
      <c r="G8" s="11" t="n"/>
      <c r="H8" s="11" t="n"/>
      <c r="I8" s="12">
        <f>SUM(D8:H8)</f>
        <v/>
      </c>
      <c r="J8" s="13">
        <f>I8/5</f>
        <v/>
      </c>
    </row>
    <row r="9" ht="34" customHeight="1">
      <c r="A9" s="4" t="n">
        <v>5</v>
      </c>
      <c r="B9" s="5" t="inlineStr">
        <is>
          <t>Can nurses or pharmacists prescribe antihypertensive treatment?</t>
        </is>
      </c>
      <c r="C9" s="5" t="inlineStr">
        <is>
          <t>WHO Hypertension Guideline / 3.8 Administration by nonphysicians / Page 10</t>
        </is>
      </c>
      <c r="D9" s="6" t="n"/>
      <c r="E9" s="6" t="n"/>
      <c r="F9" s="6" t="n"/>
      <c r="G9" s="6" t="n"/>
      <c r="H9" s="6" t="n"/>
      <c r="I9" s="7">
        <f>SUM(D9:H9)</f>
        <v/>
      </c>
      <c r="J9" s="8">
        <f>I9/5</f>
        <v/>
      </c>
    </row>
    <row r="10" ht="34" customHeight="1">
      <c r="A10" s="9" t="n">
        <v>6</v>
      </c>
      <c r="B10" s="10" t="inlineStr">
        <is>
          <t>Which antihypertensive medications are contraindicated during pregnancy?</t>
        </is>
      </c>
      <c r="C10" s="10" t="inlineStr">
        <is>
          <t>WHO Hypertension Guideline / 4.3 Pregnancy and hypertension / Page 10</t>
        </is>
      </c>
      <c r="D10" s="11" t="n"/>
      <c r="E10" s="11" t="n"/>
      <c r="F10" s="11" t="n"/>
      <c r="G10" s="11" t="n"/>
      <c r="H10" s="11" t="n"/>
      <c r="I10" s="12">
        <f>SUM(D10:H10)</f>
        <v/>
      </c>
      <c r="J10" s="13">
        <f>I10/5</f>
        <v/>
      </c>
    </row>
    <row r="11" ht="34" customHeight="1">
      <c r="A11" s="4" t="n">
        <v>7</v>
      </c>
      <c r="B11" s="5" t="inlineStr">
        <is>
          <t>What is the recommended starting dose in the single-pill combination algorithm?</t>
        </is>
      </c>
      <c r="C11" s="5" t="inlineStr">
        <is>
          <t>WHO Hypertension Guideline / 6.2 Drug- and dose-specific protocols / Page 12</t>
        </is>
      </c>
      <c r="D11" s="6" t="n"/>
      <c r="E11" s="6" t="n"/>
      <c r="F11" s="6" t="n"/>
      <c r="G11" s="6" t="n"/>
      <c r="H11" s="6" t="n"/>
      <c r="I11" s="7">
        <f>SUM(D11:H11)</f>
        <v/>
      </c>
      <c r="J11" s="8">
        <f>I11/5</f>
        <v/>
      </c>
    </row>
    <row r="12" ht="34" customHeight="1">
      <c r="A12" s="9" t="n">
        <v>8</v>
      </c>
      <c r="B12" s="10" t="inlineStr">
        <is>
          <t>What screening interval does this guideline recommend for breast cancer?</t>
        </is>
      </c>
      <c r="C12" s="10" t="inlineStr">
        <is>
          <t>Not covered — expected refusal (out-of-scope control question)</t>
        </is>
      </c>
      <c r="D12" s="11" t="n"/>
      <c r="E12" s="11" t="n"/>
      <c r="F12" s="11" t="n"/>
      <c r="G12" s="11" t="n"/>
      <c r="H12" s="11" t="n"/>
      <c r="I12" s="12">
        <f>SUM(D12:H12)</f>
        <v/>
      </c>
      <c r="J12" s="13">
        <f>I12/5</f>
        <v/>
      </c>
    </row>
    <row r="14" ht="24" customHeight="1">
      <c r="A14" s="14" t="inlineStr">
        <is>
          <t>AVERAGE PRECISION@5 ACROSS ALL QUESTIONS</t>
        </is>
      </c>
      <c r="I14" s="15">
        <f>AVERAGE(J5:J12)</f>
        <v/>
      </c>
    </row>
  </sheetData>
  <mergeCells count="4">
    <mergeCell ref="A1:J1"/>
    <mergeCell ref="A14:H14"/>
    <mergeCell ref="I14:J14"/>
    <mergeCell ref="A2:J2"/>
  </mergeCells>
  <conditionalFormatting sqref="J5:J12">
    <cfRule type="cellIs" priority="1" operator="lessThan" dxfId="0">
      <formula>0.6</formula>
    </cfRule>
    <cfRule type="cellIs" priority="2" operator="greaterThanOrEqual" dxfId="1">
      <formula>0.8</formula>
    </cfRule>
  </conditionalFormatting>
  <dataValidations count="1">
    <dataValidation sqref="D5 D6 D7 D8 D9 D10 D11 D12 E5 E6 E7 E8 E9 E10 E11 E12 F5 F6 F7 F8 F9 F10 F11 F12 G5 G6 G7 G8 G9 G10 G11 G12 H5 H6 H7 H8 H9 H10 H11 H12" showDropDown="0" showInputMessage="0" showErrorMessage="0" allowBlank="1" type="list">
      <formula1>"0,1"</formula1>
    </dataValidation>
  </dataValidation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2026-08-11T16:47:18Z</dcterms:created>
  <dcterms:modified xmlns:dcterms="http://purl.org/dc/terms/" xmlns:xsi="http://www.w3.org/2001/XMLSchema-instance" xsi:type="dcterms:W3CDTF">2026-08-11T16:47:18Z</dcterms:modified>
</cp:coreProperties>
</file>